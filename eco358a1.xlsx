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hhieudao/Downloads/"/>
    </mc:Choice>
  </mc:AlternateContent>
  <xr:revisionPtr revIDLastSave="0" documentId="8_{49F14349-F994-E147-BF8B-AE8D423495D3}" xr6:coauthVersionLast="47" xr6:coauthVersionMax="47" xr10:uidLastSave="{00000000-0000-0000-0000-000000000000}"/>
  <bookViews>
    <workbookView xWindow="0" yWindow="740" windowWidth="29400" windowHeight="17360" xr2:uid="{D0887D4B-2AC2-A14D-9D58-163BA35D1B6C}"/>
  </bookViews>
  <sheets>
    <sheet name="part3" sheetId="1" r:id="rId1"/>
    <sheet name="part2" sheetId="3" r:id="rId2"/>
    <sheet name="part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16" i="3"/>
  <c r="B20" i="3"/>
  <c r="B22" i="3" s="1"/>
  <c r="B9" i="3"/>
  <c r="I41" i="1"/>
  <c r="E28" i="1"/>
  <c r="E23" i="1"/>
  <c r="I34" i="1"/>
  <c r="I28" i="1"/>
  <c r="C23" i="1" s="1"/>
  <c r="I19" i="1"/>
  <c r="C28" i="1" s="1"/>
  <c r="I12" i="1"/>
  <c r="D23" i="1" s="1"/>
  <c r="I7" i="1"/>
  <c r="D28" i="1"/>
  <c r="C16" i="2"/>
  <c r="C10" i="2"/>
  <c r="C15" i="2"/>
  <c r="C14" i="2"/>
  <c r="C21" i="1"/>
  <c r="D32" i="1"/>
  <c r="E32" i="1"/>
  <c r="C32" i="1"/>
  <c r="D13" i="1"/>
  <c r="E13" i="1"/>
  <c r="C13" i="1"/>
  <c r="D7" i="1"/>
  <c r="E7" i="1"/>
  <c r="C7" i="1"/>
  <c r="C18" i="1"/>
  <c r="C26" i="1"/>
  <c r="D26" i="1"/>
  <c r="E26" i="1"/>
  <c r="D21" i="1"/>
  <c r="E21" i="1"/>
  <c r="D18" i="1"/>
  <c r="E18" i="1"/>
  <c r="D29" i="1"/>
  <c r="E29" i="1"/>
  <c r="C14" i="1" l="1"/>
  <c r="C15" i="1" s="1"/>
  <c r="C33" i="1" s="1"/>
  <c r="D14" i="1"/>
  <c r="D15" i="1" s="1"/>
  <c r="D33" i="1" s="1"/>
  <c r="D34" i="1"/>
  <c r="C34" i="1"/>
  <c r="C29" i="1"/>
  <c r="E14" i="1"/>
  <c r="E15" i="1" s="1"/>
  <c r="E33" i="1" s="1"/>
  <c r="E34" i="1" s="1"/>
</calcChain>
</file>

<file path=xl/sharedStrings.xml><?xml version="1.0" encoding="utf-8"?>
<sst xmlns="http://schemas.openxmlformats.org/spreadsheetml/2006/main" count="124" uniqueCount="79">
  <si>
    <t>Date</t>
  </si>
  <si>
    <t>Rogers</t>
  </si>
  <si>
    <t>Bell</t>
  </si>
  <si>
    <t>TELUS</t>
  </si>
  <si>
    <t>Source</t>
  </si>
  <si>
    <t>Dividend (2024)</t>
  </si>
  <si>
    <t>Net earnings</t>
  </si>
  <si>
    <t>div_Q4</t>
  </si>
  <si>
    <t>Income taxes</t>
  </si>
  <si>
    <t>div_Q3</t>
  </si>
  <si>
    <t>Finance costs (Interest  expense)</t>
  </si>
  <si>
    <t>div_Q2</t>
  </si>
  <si>
    <t xml:space="preserve">Depreciation </t>
  </si>
  <si>
    <t>div_Q1</t>
  </si>
  <si>
    <t>Amortization</t>
  </si>
  <si>
    <t xml:space="preserve">Total </t>
  </si>
  <si>
    <t>EBITDA</t>
  </si>
  <si>
    <t>p116 Bell Income Statement</t>
  </si>
  <si>
    <t>EBITDA = Net Profit + Interest + Taxes + Depreciation + Amortization</t>
  </si>
  <si>
    <t>Dividend (2023)</t>
  </si>
  <si>
    <t>Interest payable</t>
  </si>
  <si>
    <t>Debt due withtin one year</t>
  </si>
  <si>
    <t>Long-term debt</t>
  </si>
  <si>
    <t>Total Debt</t>
  </si>
  <si>
    <t>p117 Bell Financial Position Statement</t>
  </si>
  <si>
    <t>Total</t>
  </si>
  <si>
    <t>Dividend growth rate (g)</t>
  </si>
  <si>
    <t>Equity cost of capital (r_E)</t>
  </si>
  <si>
    <t>Net income</t>
  </si>
  <si>
    <t>Income taxt expense</t>
  </si>
  <si>
    <t>Stock Price</t>
  </si>
  <si>
    <t>31/12/2024</t>
  </si>
  <si>
    <t xml:space="preserve">Finance costs  </t>
  </si>
  <si>
    <t>Divident Yield</t>
  </si>
  <si>
    <t>Depreciation and amortization</t>
  </si>
  <si>
    <t>p100 Rogers Income Statement</t>
  </si>
  <si>
    <t>(Diluted) EPS</t>
  </si>
  <si>
    <t>P/E ratio</t>
  </si>
  <si>
    <t>Current liabilities</t>
  </si>
  <si>
    <t>Short-term borrowings</t>
  </si>
  <si>
    <t>Total debt</t>
  </si>
  <si>
    <t>Current portion of long-term debt</t>
  </si>
  <si>
    <t>Cash</t>
  </si>
  <si>
    <t>Current portion of lease liabilities</t>
  </si>
  <si>
    <t>(diluted) shares</t>
  </si>
  <si>
    <t>Non-current liabilities</t>
  </si>
  <si>
    <t xml:space="preserve">Enterprise value </t>
  </si>
  <si>
    <t>Lease abilities</t>
  </si>
  <si>
    <t>p102 Rogers Financial Position Statement</t>
  </si>
  <si>
    <t>V/EBITDA Ratio</t>
  </si>
  <si>
    <t>r_D</t>
  </si>
  <si>
    <t>Operating income</t>
  </si>
  <si>
    <t>EBITDA = Operating Income + Depreciation + Amortization</t>
  </si>
  <si>
    <t xml:space="preserve">Equity   </t>
  </si>
  <si>
    <t>Depreciation</t>
  </si>
  <si>
    <t>WACC</t>
  </si>
  <si>
    <t>Amortization of intangible assets</t>
  </si>
  <si>
    <t>FCF</t>
  </si>
  <si>
    <t>p6 TELUS Income statment</t>
  </si>
  <si>
    <t>Earnings Before Interest, Taxes, Depreciation, and Amortization.</t>
  </si>
  <si>
    <t>Current maturities of long-term debt</t>
  </si>
  <si>
    <t>Interest-bearing financing obligations</t>
  </si>
  <si>
    <t>p7 TELUS Balance Sheet</t>
  </si>
  <si>
    <t xml:space="preserve">Cash and Cash equivalents </t>
  </si>
  <si>
    <t>Total Share outstanding</t>
  </si>
  <si>
    <t>p129 Rogers Note 15</t>
  </si>
  <si>
    <t>Stock privce (12/31/2024)</t>
  </si>
  <si>
    <t xml:space="preserve"> </t>
  </si>
  <si>
    <t>Enterprise Value V_0</t>
  </si>
  <si>
    <t>Rate of debt</t>
  </si>
  <si>
    <t>DDM</t>
  </si>
  <si>
    <t>Cost of equity</t>
  </si>
  <si>
    <t>Free Cash Flow</t>
  </si>
  <si>
    <t>Dividend (2025)</t>
  </si>
  <si>
    <t>Dvidend (2018)</t>
  </si>
  <si>
    <t>g</t>
  </si>
  <si>
    <t xml:space="preserve">infinite r </t>
  </si>
  <si>
    <t>1-period r</t>
  </si>
  <si>
    <t>growth dividend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</si>
</sst>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F800]dddd\,\ mmmm\ dd\,\ yyyy"/>
  </numFmts>
  <fonts count="1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u val="double"/>
      <sz val="12"/>
      <color theme="1"/>
      <name val="Calibri"/>
      <family val="2"/>
      <scheme val="minor"/>
    </font>
    <font>
      <u val="double"/>
      <sz val="9"/>
      <color rgb="FFE3E3E3"/>
      <name val="GT America"/>
      <charset val="1"/>
    </font>
    <font>
      <u val="double"/>
      <sz val="11"/>
      <color rgb="FFE3E3E3"/>
      <name val="GT America"/>
      <charset val="1"/>
    </font>
    <font>
      <b/>
      <u val="double"/>
      <sz val="11"/>
      <color rgb="FFE3E3E3"/>
      <name val="GT Americ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left" vertical="top" wrapText="1"/>
    </xf>
    <xf numFmtId="14" fontId="2" fillId="0" borderId="0" xfId="0" applyNumberFormat="1" applyFont="1"/>
    <xf numFmtId="0" fontId="3" fillId="0" borderId="0" xfId="0" applyFont="1"/>
    <xf numFmtId="165" fontId="1" fillId="0" borderId="0" xfId="0" applyNumberFormat="1" applyFont="1"/>
    <xf numFmtId="0" fontId="0" fillId="2" borderId="0" xfId="0" applyFill="1"/>
    <xf numFmtId="165" fontId="0" fillId="2" borderId="0" xfId="0" applyNumberFormat="1" applyFill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14" fontId="0" fillId="0" borderId="0" xfId="0" applyNumberFormat="1"/>
    <xf numFmtId="14" fontId="0" fillId="0" borderId="5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1" fillId="0" borderId="5" xfId="0" applyNumberFormat="1" applyFont="1" applyBorder="1"/>
    <xf numFmtId="2" fontId="0" fillId="0" borderId="5" xfId="0" applyNumberFormat="1" applyBorder="1"/>
    <xf numFmtId="0" fontId="1" fillId="4" borderId="4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0" borderId="5" xfId="0" applyBorder="1"/>
    <xf numFmtId="0" fontId="1" fillId="0" borderId="5" xfId="0" applyFont="1" applyBorder="1"/>
    <xf numFmtId="0" fontId="1" fillId="5" borderId="0" xfId="0" applyFont="1" applyFill="1"/>
    <xf numFmtId="0" fontId="0" fillId="5" borderId="0" xfId="0" applyFill="1"/>
    <xf numFmtId="0" fontId="0" fillId="5" borderId="5" xfId="0" applyFill="1" applyBorder="1"/>
    <xf numFmtId="0" fontId="1" fillId="3" borderId="4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0" fillId="4" borderId="0" xfId="0" applyFill="1"/>
    <xf numFmtId="0" fontId="0" fillId="4" borderId="5" xfId="0" applyFill="1" applyBorder="1"/>
    <xf numFmtId="0" fontId="0" fillId="0" borderId="4" xfId="0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9" xfId="0" applyBorder="1"/>
    <xf numFmtId="14" fontId="2" fillId="0" borderId="10" xfId="0" applyNumberFormat="1" applyFont="1" applyBorder="1"/>
    <xf numFmtId="0" fontId="2" fillId="0" borderId="10" xfId="0" applyFont="1" applyBorder="1"/>
    <xf numFmtId="0" fontId="2" fillId="0" borderId="11" xfId="0" applyFont="1" applyBorder="1"/>
    <xf numFmtId="14" fontId="1" fillId="0" borderId="0" xfId="0" applyNumberFormat="1" applyFont="1" applyAlignment="1">
      <alignment horizontal="right"/>
    </xf>
    <xf numFmtId="0" fontId="0" fillId="0" borderId="5" xfId="0" applyBorder="1" applyAlignment="1">
      <alignment wrapText="1"/>
    </xf>
    <xf numFmtId="0" fontId="5" fillId="0" borderId="0" xfId="0" applyFont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0" fillId="0" borderId="3" xfId="0" applyBorder="1" applyAlignment="1">
      <alignment wrapText="1"/>
    </xf>
    <xf numFmtId="0" fontId="5" fillId="0" borderId="9" xfId="0" applyFont="1" applyBorder="1"/>
    <xf numFmtId="0" fontId="5" fillId="0" borderId="10" xfId="0" applyFont="1" applyBorder="1"/>
    <xf numFmtId="0" fontId="4" fillId="0" borderId="11" xfId="1" applyBorder="1" applyAlignment="1">
      <alignment wrapText="1"/>
    </xf>
    <xf numFmtId="0" fontId="0" fillId="0" borderId="11" xfId="0" applyBorder="1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164" fontId="1" fillId="2" borderId="3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164" fontId="1" fillId="2" borderId="7" xfId="0" applyNumberFormat="1" applyFont="1" applyFill="1" applyBorder="1"/>
    <xf numFmtId="164" fontId="1" fillId="2" borderId="8" xfId="0" applyNumberFormat="1" applyFont="1" applyFill="1" applyBorder="1"/>
    <xf numFmtId="0" fontId="6" fillId="0" borderId="4" xfId="0" applyFont="1" applyBorder="1"/>
    <xf numFmtId="0" fontId="7" fillId="0" borderId="4" xfId="0" applyFont="1" applyBorder="1"/>
    <xf numFmtId="0" fontId="0" fillId="0" borderId="0" xfId="0" applyAlignment="1">
      <alignment horizontal="right"/>
    </xf>
    <xf numFmtId="0" fontId="4" fillId="0" borderId="11" xfId="1" applyBorder="1"/>
    <xf numFmtId="0" fontId="6" fillId="0" borderId="0" xfId="0" applyFont="1"/>
    <xf numFmtId="0" fontId="7" fillId="0" borderId="0" xfId="0" applyFont="1"/>
    <xf numFmtId="0" fontId="4" fillId="0" borderId="0" xfId="1" applyBorder="1" applyAlignment="1">
      <alignment wrapText="1"/>
    </xf>
    <xf numFmtId="0" fontId="4" fillId="0" borderId="0" xfId="1" applyBorder="1"/>
    <xf numFmtId="0" fontId="8" fillId="0" borderId="0" xfId="0" applyFont="1"/>
    <xf numFmtId="0" fontId="9" fillId="0" borderId="0" xfId="0" applyFont="1"/>
    <xf numFmtId="15" fontId="10" fillId="0" borderId="0" xfId="0" applyNumberFormat="1" applyFont="1"/>
    <xf numFmtId="0" fontId="11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sUHZsAwYqP1LrmbUwiXgKW0As-WH4YyM/view?usp=sharing" TargetMode="External"/><Relationship Id="rId2" Type="http://schemas.openxmlformats.org/officeDocument/2006/relationships/hyperlink" Target="https://drive.google.com/file/d/12LzZUfv0zS3cMRNS_KapTAs4hjNs5zX3/view?usp=drive_link" TargetMode="External"/><Relationship Id="rId1" Type="http://schemas.openxmlformats.org/officeDocument/2006/relationships/hyperlink" Target="https://drive.google.com/file/d/12MB4-TMW8Z0l5Xe6uqU-5l8HG8gnAC3S/view?usp=sharing" TargetMode="External"/><Relationship Id="rId6" Type="http://schemas.openxmlformats.org/officeDocument/2006/relationships/hyperlink" Target="https://drive.google.com/file/d/1fyDKORn3riYG842sBu8nRRadxFEGrlVx/view?usp=sharing" TargetMode="External"/><Relationship Id="rId5" Type="http://schemas.openxmlformats.org/officeDocument/2006/relationships/hyperlink" Target="https://drive.google.com/file/d/185rxoKXJVNAmd6041dRVLRqeJFVz9i_e/view?usp=sharing" TargetMode="External"/><Relationship Id="rId4" Type="http://schemas.openxmlformats.org/officeDocument/2006/relationships/hyperlink" Target="https://drive.google.com/file/d/1Zp6yHot8urL7vOwynNTyTGbM5WTqSNsr/view?usp=shar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UbP8paVAv_qUHPF4UWRz5h4V8blj0kD8/view?usp=drive_link" TargetMode="External"/><Relationship Id="rId2" Type="http://schemas.openxmlformats.org/officeDocument/2006/relationships/hyperlink" Target="https://drive.google.com/file/d/1sUHZsAwYqP1LrmbUwiXgKW0As-WH4YyM/view?usp=sharing" TargetMode="External"/><Relationship Id="rId1" Type="http://schemas.openxmlformats.org/officeDocument/2006/relationships/hyperlink" Target="https://drive.google.com/file/d/1sUHZsAwYqP1LrmbUwiXgKW0As-WH4YyM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89C2-969D-9348-8AEB-C155A72FF1EC}">
  <sheetPr>
    <pageSetUpPr fitToPage="1"/>
  </sheetPr>
  <dimension ref="A1:K42"/>
  <sheetViews>
    <sheetView tabSelected="1" zoomScale="75" workbookViewId="0">
      <selection activeCell="K22" sqref="K22"/>
    </sheetView>
  </sheetViews>
  <sheetFormatPr baseColWidth="10" defaultColWidth="11" defaultRowHeight="16"/>
  <cols>
    <col min="1" max="1" width="25.5" customWidth="1"/>
    <col min="2" max="2" width="19" customWidth="1"/>
    <col min="8" max="8" width="27.6640625" customWidth="1"/>
    <col min="10" max="10" width="27.1640625" customWidth="1"/>
    <col min="11" max="11" width="21.1640625" customWidth="1"/>
  </cols>
  <sheetData>
    <row r="1" spans="1:11">
      <c r="A1" s="39"/>
      <c r="B1" s="56" t="s">
        <v>0</v>
      </c>
      <c r="C1" s="40" t="s">
        <v>1</v>
      </c>
      <c r="D1" s="41" t="s">
        <v>2</v>
      </c>
      <c r="E1" s="42" t="s">
        <v>3</v>
      </c>
      <c r="H1" s="46"/>
      <c r="I1" s="47" t="s">
        <v>2</v>
      </c>
      <c r="J1" s="48" t="s">
        <v>4</v>
      </c>
      <c r="K1" s="67"/>
    </row>
    <row r="2" spans="1:11">
      <c r="A2" s="15" t="s">
        <v>5</v>
      </c>
      <c r="B2" s="1"/>
      <c r="C2" s="2"/>
      <c r="D2" s="16"/>
      <c r="E2" s="17"/>
      <c r="H2" s="13" t="s">
        <v>6</v>
      </c>
      <c r="I2" s="14">
        <v>375</v>
      </c>
      <c r="J2" s="52"/>
      <c r="K2" s="12"/>
    </row>
    <row r="3" spans="1:11">
      <c r="A3" s="15" t="s">
        <v>7</v>
      </c>
      <c r="B3" s="1"/>
      <c r="C3" s="5">
        <v>0.5</v>
      </c>
      <c r="D3" s="18">
        <v>0.998</v>
      </c>
      <c r="E3" s="19">
        <v>0.40200000000000002</v>
      </c>
      <c r="H3" s="35" t="s">
        <v>8</v>
      </c>
      <c r="I3">
        <v>577</v>
      </c>
      <c r="J3" s="44"/>
      <c r="K3" s="12"/>
    </row>
    <row r="4" spans="1:11">
      <c r="A4" s="15" t="s">
        <v>9</v>
      </c>
      <c r="B4" s="1"/>
      <c r="C4" s="5">
        <v>0.5</v>
      </c>
      <c r="D4" s="18">
        <v>0.998</v>
      </c>
      <c r="E4" s="19">
        <v>0.38900000000000001</v>
      </c>
      <c r="H4" s="35" t="s">
        <v>10</v>
      </c>
      <c r="I4">
        <v>1713</v>
      </c>
      <c r="J4" s="44"/>
      <c r="K4" s="12"/>
    </row>
    <row r="5" spans="1:11">
      <c r="A5" s="15" t="s">
        <v>11</v>
      </c>
      <c r="B5" s="1"/>
      <c r="C5" s="5">
        <v>0.5</v>
      </c>
      <c r="D5" s="18">
        <v>0.998</v>
      </c>
      <c r="E5" s="19">
        <v>0.38900000000000001</v>
      </c>
      <c r="H5" s="35" t="s">
        <v>12</v>
      </c>
      <c r="I5">
        <v>3758</v>
      </c>
      <c r="J5" s="44"/>
      <c r="K5" s="12"/>
    </row>
    <row r="6" spans="1:11">
      <c r="A6" s="15" t="s">
        <v>13</v>
      </c>
      <c r="B6" s="1"/>
      <c r="C6" s="5">
        <v>0.5</v>
      </c>
      <c r="D6" s="18">
        <v>0.998</v>
      </c>
      <c r="E6" s="19">
        <v>0.376</v>
      </c>
      <c r="H6" s="35" t="s">
        <v>14</v>
      </c>
      <c r="I6">
        <v>1283</v>
      </c>
      <c r="J6" s="44"/>
      <c r="K6" s="12"/>
    </row>
    <row r="7" spans="1:11" ht="17">
      <c r="A7" s="15" t="s">
        <v>15</v>
      </c>
      <c r="B7" s="1"/>
      <c r="C7" s="5">
        <f>SUM(C3,C4,C5,C6)</f>
        <v>2</v>
      </c>
      <c r="D7" s="5">
        <f t="shared" ref="D7:E7" si="0">SUM(D3,D4,D5,D6)</f>
        <v>3.992</v>
      </c>
      <c r="E7" s="20">
        <f t="shared" si="0"/>
        <v>1.556</v>
      </c>
      <c r="H7" s="53" t="s">
        <v>16</v>
      </c>
      <c r="I7" s="54">
        <f>SUM(I2:I6)</f>
        <v>7706</v>
      </c>
      <c r="J7" s="55" t="s">
        <v>17</v>
      </c>
      <c r="K7" t="s">
        <v>18</v>
      </c>
    </row>
    <row r="8" spans="1:11">
      <c r="A8" s="15" t="s">
        <v>19</v>
      </c>
      <c r="B8" s="1"/>
      <c r="C8" s="5"/>
      <c r="D8" s="18"/>
      <c r="E8" s="19"/>
      <c r="H8" s="35"/>
      <c r="J8" s="44"/>
      <c r="K8" s="12"/>
    </row>
    <row r="9" spans="1:11">
      <c r="A9" s="15" t="s">
        <v>7</v>
      </c>
      <c r="B9" s="1"/>
      <c r="C9" s="5">
        <v>0.5</v>
      </c>
      <c r="D9" s="18">
        <v>0.96799999999999997</v>
      </c>
      <c r="E9" s="19">
        <v>0.376</v>
      </c>
      <c r="H9" s="35" t="s">
        <v>20</v>
      </c>
      <c r="I9">
        <v>392</v>
      </c>
      <c r="J9" s="44"/>
      <c r="K9" s="12"/>
    </row>
    <row r="10" spans="1:11">
      <c r="A10" s="15" t="s">
        <v>9</v>
      </c>
      <c r="B10" s="1"/>
      <c r="C10" s="5">
        <v>0.5</v>
      </c>
      <c r="D10" s="18">
        <v>0.96799999999999997</v>
      </c>
      <c r="E10" s="19">
        <v>0.36399999999999999</v>
      </c>
      <c r="H10" s="35" t="s">
        <v>21</v>
      </c>
      <c r="I10">
        <v>7669</v>
      </c>
      <c r="J10" s="44"/>
      <c r="K10" s="12"/>
    </row>
    <row r="11" spans="1:11">
      <c r="A11" s="15" t="s">
        <v>11</v>
      </c>
      <c r="B11" s="1"/>
      <c r="C11" s="5">
        <v>0.5</v>
      </c>
      <c r="D11" s="18">
        <v>0.96799999999999997</v>
      </c>
      <c r="E11" s="19">
        <v>0.36399999999999999</v>
      </c>
      <c r="H11" s="35" t="s">
        <v>22</v>
      </c>
      <c r="I11">
        <v>32835</v>
      </c>
      <c r="J11" s="44"/>
      <c r="K11" s="12"/>
    </row>
    <row r="12" spans="1:11" ht="34">
      <c r="A12" s="15" t="s">
        <v>13</v>
      </c>
      <c r="B12" s="1"/>
      <c r="C12" s="5">
        <v>0.5</v>
      </c>
      <c r="D12" s="18">
        <v>0.96799999999999997</v>
      </c>
      <c r="E12" s="19">
        <v>0.35099999999999998</v>
      </c>
      <c r="H12" s="53" t="s">
        <v>23</v>
      </c>
      <c r="I12" s="54">
        <f>SUM(I9:I11)</f>
        <v>40896</v>
      </c>
      <c r="J12" s="55" t="s">
        <v>24</v>
      </c>
      <c r="K12" s="12"/>
    </row>
    <row r="13" spans="1:11">
      <c r="A13" s="15" t="s">
        <v>25</v>
      </c>
      <c r="B13" s="1"/>
      <c r="C13" s="5">
        <f>SUM(C9,C10,C11,C12)</f>
        <v>2</v>
      </c>
      <c r="D13" s="5">
        <f t="shared" ref="D13:E13" si="1">SUM(D9,D10,D11,D12)</f>
        <v>3.8719999999999999</v>
      </c>
      <c r="E13" s="20">
        <f t="shared" si="1"/>
        <v>1.4550000000000001</v>
      </c>
      <c r="J13" s="12"/>
      <c r="K13" s="12"/>
    </row>
    <row r="14" spans="1:11">
      <c r="A14" s="57" t="s">
        <v>26</v>
      </c>
      <c r="B14" s="58"/>
      <c r="C14" s="59">
        <f>(C7-C13)/C13</f>
        <v>0</v>
      </c>
      <c r="D14" s="59">
        <f>(D7-D13)/D13</f>
        <v>3.0991735537190111E-2</v>
      </c>
      <c r="E14" s="60">
        <f t="shared" ref="E14" si="2">(E7-E13)/E13</f>
        <v>6.9415807560137432E-2</v>
      </c>
      <c r="H14" s="49"/>
      <c r="I14" s="50" t="s">
        <v>1</v>
      </c>
      <c r="J14" s="51" t="s">
        <v>4</v>
      </c>
    </row>
    <row r="15" spans="1:11">
      <c r="A15" s="61" t="s">
        <v>27</v>
      </c>
      <c r="B15" s="62"/>
      <c r="C15" s="63">
        <f>(C7/C17)+C14</f>
        <v>4.5259108395564608E-2</v>
      </c>
      <c r="D15" s="63">
        <f>(D7/D17)+D14</f>
        <v>0.15079965870645781</v>
      </c>
      <c r="E15" s="64">
        <f t="shared" ref="E15" si="3">(E7/E17)+E14</f>
        <v>0.14925162079769516</v>
      </c>
      <c r="H15" s="35" t="s">
        <v>28</v>
      </c>
      <c r="I15">
        <v>1734</v>
      </c>
      <c r="J15" s="44"/>
    </row>
    <row r="16" spans="1:11">
      <c r="A16" s="15"/>
      <c r="B16" s="1"/>
      <c r="C16" s="5"/>
      <c r="D16" s="18"/>
      <c r="E16" s="19"/>
      <c r="H16" s="35" t="s">
        <v>29</v>
      </c>
      <c r="I16">
        <v>2295</v>
      </c>
      <c r="J16" s="44"/>
    </row>
    <row r="17" spans="1:11">
      <c r="A17" s="15" t="s">
        <v>30</v>
      </c>
      <c r="B17" s="43" t="s">
        <v>31</v>
      </c>
      <c r="C17" s="3">
        <v>44.19</v>
      </c>
      <c r="D17" s="4">
        <v>33.32</v>
      </c>
      <c r="E17" s="21">
        <v>19.489999999999998</v>
      </c>
      <c r="H17" s="35" t="s">
        <v>32</v>
      </c>
      <c r="I17">
        <v>572</v>
      </c>
      <c r="J17" s="44"/>
    </row>
    <row r="18" spans="1:11">
      <c r="A18" s="22" t="s">
        <v>33</v>
      </c>
      <c r="B18" s="23"/>
      <c r="C18" s="23">
        <f>SUM(C3,C4,C5,C6)/C17</f>
        <v>4.5259108395564608E-2</v>
      </c>
      <c r="D18" s="23">
        <f>SUM(D3,D4,D5,D6)/D17</f>
        <v>0.11980792316926771</v>
      </c>
      <c r="E18" s="24">
        <f>SUM(E3,E4,E5,E6)/E17</f>
        <v>7.9835813237557729E-2</v>
      </c>
      <c r="H18" s="35" t="s">
        <v>34</v>
      </c>
      <c r="I18">
        <v>4616</v>
      </c>
      <c r="J18" s="44"/>
    </row>
    <row r="19" spans="1:11" ht="34">
      <c r="A19" s="15"/>
      <c r="B19" s="1"/>
      <c r="C19" s="1"/>
      <c r="E19" s="25"/>
      <c r="H19" s="53" t="s">
        <v>16</v>
      </c>
      <c r="I19" s="54">
        <f>SUM(I15:I18)</f>
        <v>9217</v>
      </c>
      <c r="J19" s="55" t="s">
        <v>35</v>
      </c>
      <c r="K19" t="s">
        <v>18</v>
      </c>
    </row>
    <row r="20" spans="1:11">
      <c r="A20" s="15" t="s">
        <v>36</v>
      </c>
      <c r="B20" s="1"/>
      <c r="C20" s="1">
        <v>3.2</v>
      </c>
      <c r="D20" s="18">
        <v>0.18</v>
      </c>
      <c r="E20" s="19">
        <v>0.67</v>
      </c>
      <c r="H20" s="35"/>
      <c r="J20" s="44"/>
    </row>
    <row r="21" spans="1:11">
      <c r="A21" s="22" t="s">
        <v>37</v>
      </c>
      <c r="B21" s="23"/>
      <c r="C21" s="23">
        <f>C17/C20</f>
        <v>13.809374999999999</v>
      </c>
      <c r="D21" s="23">
        <f t="shared" ref="D21:E21" si="4">D17/D20</f>
        <v>185.11111111111111</v>
      </c>
      <c r="E21" s="24">
        <f t="shared" si="4"/>
        <v>29.089552238805965</v>
      </c>
      <c r="H21" s="65" t="s">
        <v>38</v>
      </c>
      <c r="J21" s="44"/>
    </row>
    <row r="22" spans="1:11">
      <c r="A22" s="15"/>
      <c r="B22" s="1"/>
      <c r="C22" s="1"/>
      <c r="D22" s="1"/>
      <c r="E22" s="26"/>
      <c r="H22" s="35" t="s">
        <v>39</v>
      </c>
      <c r="I22">
        <v>2959</v>
      </c>
      <c r="J22" s="44"/>
    </row>
    <row r="23" spans="1:11">
      <c r="A23" s="15" t="s">
        <v>40</v>
      </c>
      <c r="B23" s="1"/>
      <c r="C23" s="27">
        <f>I28</f>
        <v>47633</v>
      </c>
      <c r="D23" s="28">
        <f>I12</f>
        <v>40896</v>
      </c>
      <c r="E23" s="29">
        <f>I42</f>
        <v>0</v>
      </c>
      <c r="H23" s="35" t="s">
        <v>41</v>
      </c>
      <c r="I23">
        <v>3696</v>
      </c>
      <c r="J23" s="44"/>
    </row>
    <row r="24" spans="1:11">
      <c r="A24" s="15" t="s">
        <v>42</v>
      </c>
      <c r="B24" s="1"/>
      <c r="C24" s="1">
        <v>898</v>
      </c>
      <c r="D24">
        <v>1572</v>
      </c>
      <c r="E24" s="25">
        <v>869</v>
      </c>
      <c r="H24" s="35" t="s">
        <v>43</v>
      </c>
      <c r="I24">
        <v>587</v>
      </c>
      <c r="J24" s="44"/>
    </row>
    <row r="25" spans="1:11">
      <c r="A25" s="15" t="s">
        <v>44</v>
      </c>
      <c r="C25">
        <v>535</v>
      </c>
      <c r="D25">
        <v>912.3</v>
      </c>
      <c r="E25" s="25">
        <v>1493</v>
      </c>
      <c r="H25" s="66" t="s">
        <v>45</v>
      </c>
      <c r="J25" s="44"/>
    </row>
    <row r="26" spans="1:11">
      <c r="A26" s="30" t="s">
        <v>46</v>
      </c>
      <c r="B26" s="31"/>
      <c r="C26" s="31">
        <f xml:space="preserve"> C17 * C25 +C23 - C24</f>
        <v>70376.649999999994</v>
      </c>
      <c r="D26" s="31">
        <f xml:space="preserve"> D17 * D25 +D23 - D24</f>
        <v>69721.835999999996</v>
      </c>
      <c r="E26" s="32">
        <f xml:space="preserve"> E17 * E25 +E23 - E24</f>
        <v>28229.569999999996</v>
      </c>
      <c r="H26" s="35" t="s">
        <v>22</v>
      </c>
      <c r="I26">
        <v>38200</v>
      </c>
      <c r="J26" s="44"/>
    </row>
    <row r="27" spans="1:11" ht="18" customHeight="1">
      <c r="A27" s="15"/>
      <c r="E27" s="25"/>
      <c r="H27" s="35" t="s">
        <v>47</v>
      </c>
      <c r="I27">
        <v>2191</v>
      </c>
      <c r="J27" s="44"/>
    </row>
    <row r="28" spans="1:11" ht="34">
      <c r="A28" s="15" t="s">
        <v>16</v>
      </c>
      <c r="C28" s="27">
        <f>I19</f>
        <v>9217</v>
      </c>
      <c r="D28" s="27">
        <f>I7</f>
        <v>7706</v>
      </c>
      <c r="E28" s="29">
        <f>I34</f>
        <v>6840</v>
      </c>
      <c r="H28" s="53" t="s">
        <v>23</v>
      </c>
      <c r="I28" s="54">
        <f>SUM(I22,I23,I24,I26,I27,)</f>
        <v>47633</v>
      </c>
      <c r="J28" s="55" t="s">
        <v>48</v>
      </c>
    </row>
    <row r="29" spans="1:11">
      <c r="A29" s="22" t="s">
        <v>49</v>
      </c>
      <c r="B29" s="33"/>
      <c r="C29" s="33">
        <f>C26/C28</f>
        <v>7.6355267440598888</v>
      </c>
      <c r="D29" s="33">
        <f>D26/D28</f>
        <v>9.0477337139890981</v>
      </c>
      <c r="E29" s="34">
        <f>E26/E28</f>
        <v>4.127130116959064</v>
      </c>
      <c r="J29" s="12"/>
    </row>
    <row r="30" spans="1:11">
      <c r="A30" s="35"/>
      <c r="E30" s="25"/>
      <c r="H30" s="49"/>
      <c r="I30" s="50" t="s">
        <v>3</v>
      </c>
      <c r="J30" s="51" t="s">
        <v>4</v>
      </c>
    </row>
    <row r="31" spans="1:11">
      <c r="A31" s="35" t="s">
        <v>50</v>
      </c>
      <c r="C31">
        <v>4.6100000000000002E-2</v>
      </c>
      <c r="D31">
        <v>4.4999999999999998E-2</v>
      </c>
      <c r="E31" s="25">
        <v>4.7E-2</v>
      </c>
      <c r="H31" s="35" t="s">
        <v>51</v>
      </c>
      <c r="I31">
        <v>2804</v>
      </c>
      <c r="J31" s="25"/>
      <c r="K31" t="s">
        <v>52</v>
      </c>
    </row>
    <row r="32" spans="1:11">
      <c r="A32" s="35" t="s">
        <v>53</v>
      </c>
      <c r="C32">
        <f>C17*C25</f>
        <v>23641.649999999998</v>
      </c>
      <c r="D32">
        <f t="shared" ref="D32:E32" si="5">D17*D25</f>
        <v>30397.835999999999</v>
      </c>
      <c r="E32" s="25">
        <f t="shared" si="5"/>
        <v>29098.569999999996</v>
      </c>
      <c r="H32" s="35" t="s">
        <v>54</v>
      </c>
      <c r="I32">
        <v>2513</v>
      </c>
      <c r="J32" s="25"/>
    </row>
    <row r="33" spans="1:10">
      <c r="A33" s="35" t="s">
        <v>55</v>
      </c>
      <c r="C33">
        <f>(C31*C23+C15*C32)/(C32+C23)</f>
        <v>4.5821078041070711E-2</v>
      </c>
      <c r="D33">
        <f t="shared" ref="D33:E33" si="6">(D31*D23+D15*D32)/(D32+D23)</f>
        <v>9.0110220667813087E-2</v>
      </c>
      <c r="E33" s="25">
        <f t="shared" si="6"/>
        <v>0.14925162079769516</v>
      </c>
      <c r="H33" s="35" t="s">
        <v>56</v>
      </c>
      <c r="I33">
        <v>1523</v>
      </c>
      <c r="J33" s="25"/>
    </row>
    <row r="34" spans="1:10">
      <c r="A34" s="36" t="s">
        <v>57</v>
      </c>
      <c r="B34" s="37"/>
      <c r="C34" s="37">
        <f>C26*C33</f>
        <v>3224.7339719191186</v>
      </c>
      <c r="D34" s="37">
        <f>D26*D33</f>
        <v>6282.650027325074</v>
      </c>
      <c r="E34" s="38">
        <f>E26*E33</f>
        <v>4213.3090769219907</v>
      </c>
      <c r="H34" s="53" t="s">
        <v>16</v>
      </c>
      <c r="I34" s="54">
        <f>SUM(I31:I33)</f>
        <v>6840</v>
      </c>
      <c r="J34" s="68" t="s">
        <v>58</v>
      </c>
    </row>
    <row r="35" spans="1:10">
      <c r="H35" s="35"/>
      <c r="J35" s="25"/>
    </row>
    <row r="36" spans="1:10">
      <c r="H36" s="65" t="s">
        <v>38</v>
      </c>
      <c r="J36" s="25"/>
    </row>
    <row r="37" spans="1:10">
      <c r="B37" s="6"/>
      <c r="H37" s="35" t="s">
        <v>39</v>
      </c>
      <c r="I37">
        <v>922</v>
      </c>
      <c r="J37" s="25"/>
    </row>
    <row r="38" spans="1:10">
      <c r="A38" t="s">
        <v>16</v>
      </c>
      <c r="B38" t="s">
        <v>59</v>
      </c>
      <c r="H38" s="35" t="s">
        <v>60</v>
      </c>
      <c r="I38">
        <v>3246</v>
      </c>
      <c r="J38" s="25"/>
    </row>
    <row r="39" spans="1:10">
      <c r="A39" t="s">
        <v>40</v>
      </c>
      <c r="B39" t="s">
        <v>61</v>
      </c>
      <c r="H39" s="66" t="s">
        <v>45</v>
      </c>
      <c r="J39" s="25"/>
    </row>
    <row r="40" spans="1:10">
      <c r="H40" s="35" t="s">
        <v>22</v>
      </c>
      <c r="I40">
        <v>25608</v>
      </c>
      <c r="J40" s="25"/>
    </row>
    <row r="41" spans="1:10">
      <c r="H41" s="53" t="s">
        <v>23</v>
      </c>
      <c r="I41" s="54">
        <f>SUM(I35:I39)</f>
        <v>4168</v>
      </c>
      <c r="J41" s="68" t="s">
        <v>62</v>
      </c>
    </row>
    <row r="42" spans="1:10">
      <c r="H42" s="45"/>
      <c r="I42" s="45"/>
    </row>
  </sheetData>
  <hyperlinks>
    <hyperlink ref="J7" r:id="rId1" display="p116 Income Statement" xr:uid="{6584022D-A52F-45A0-B4A3-63DB48F74457}"/>
    <hyperlink ref="J12" r:id="rId2" display="p117 Financial Position Statement" xr:uid="{79D7BB94-2C89-4FF3-A63F-C1FF5CD16D36}"/>
    <hyperlink ref="J28" r:id="rId3" xr:uid="{D2A20DA2-78C5-43EB-9AC1-876CDBD52554}"/>
    <hyperlink ref="J19" r:id="rId4" xr:uid="{4D69B241-FFEB-4E7C-8895-7815804FBE17}"/>
    <hyperlink ref="J41" r:id="rId5" xr:uid="{7DC6CBE0-84C0-4CC2-8455-2BE77BA3D3F7}"/>
    <hyperlink ref="J34" r:id="rId6" xr:uid="{8B769667-DC17-4316-B536-8FEED8C64EC3}"/>
  </hyperlink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3477-895C-4746-A147-82DE9FBCA441}">
  <dimension ref="A1:C22"/>
  <sheetViews>
    <sheetView workbookViewId="0">
      <selection activeCell="D12" sqref="D12"/>
    </sheetView>
  </sheetViews>
  <sheetFormatPr baseColWidth="10" defaultColWidth="8.83203125" defaultRowHeight="16"/>
  <cols>
    <col min="1" max="1" width="23.6640625" customWidth="1"/>
    <col min="3" max="3" width="27.5" customWidth="1"/>
  </cols>
  <sheetData>
    <row r="1" spans="1:3">
      <c r="B1" t="s">
        <v>1</v>
      </c>
      <c r="C1" t="s">
        <v>4</v>
      </c>
    </row>
    <row r="2" spans="1:3">
      <c r="A2" s="69" t="s">
        <v>38</v>
      </c>
    </row>
    <row r="3" spans="1:3">
      <c r="A3" t="s">
        <v>39</v>
      </c>
      <c r="B3">
        <v>2959</v>
      </c>
    </row>
    <row r="4" spans="1:3">
      <c r="A4" t="s">
        <v>41</v>
      </c>
      <c r="B4">
        <v>3696</v>
      </c>
    </row>
    <row r="5" spans="1:3">
      <c r="A5" t="s">
        <v>43</v>
      </c>
      <c r="B5">
        <v>587</v>
      </c>
    </row>
    <row r="6" spans="1:3">
      <c r="A6" s="70" t="s">
        <v>45</v>
      </c>
    </row>
    <row r="7" spans="1:3">
      <c r="A7" t="s">
        <v>22</v>
      </c>
      <c r="B7">
        <v>38200</v>
      </c>
    </row>
    <row r="8" spans="1:3">
      <c r="A8" t="s">
        <v>47</v>
      </c>
      <c r="B8">
        <v>2191</v>
      </c>
    </row>
    <row r="9" spans="1:3" ht="34">
      <c r="A9" s="45" t="s">
        <v>23</v>
      </c>
      <c r="B9" s="45">
        <f>SUM(B3,B4,B5,B7,B8,)</f>
        <v>47633</v>
      </c>
      <c r="C9" s="71" t="s">
        <v>48</v>
      </c>
    </row>
    <row r="11" spans="1:3" ht="34">
      <c r="A11" t="s">
        <v>63</v>
      </c>
      <c r="B11">
        <v>898</v>
      </c>
      <c r="C11" s="71" t="s">
        <v>48</v>
      </c>
    </row>
    <row r="12" spans="1:3">
      <c r="A12" t="s">
        <v>64</v>
      </c>
      <c r="B12">
        <v>535</v>
      </c>
      <c r="C12" s="72" t="s">
        <v>65</v>
      </c>
    </row>
    <row r="14" spans="1:3">
      <c r="A14" t="s">
        <v>66</v>
      </c>
      <c r="B14">
        <v>44.19</v>
      </c>
    </row>
    <row r="15" spans="1:3">
      <c r="A15" t="s">
        <v>67</v>
      </c>
    </row>
    <row r="16" spans="1:3">
      <c r="A16" s="45" t="s">
        <v>68</v>
      </c>
      <c r="B16" s="45">
        <f>B14*B12+B9-B11</f>
        <v>70376.649999999994</v>
      </c>
    </row>
    <row r="18" spans="1:3">
      <c r="A18" t="s">
        <v>69</v>
      </c>
      <c r="B18">
        <v>4.6100000000000002E-2</v>
      </c>
      <c r="C18" t="s">
        <v>70</v>
      </c>
    </row>
    <row r="19" spans="1:3">
      <c r="A19" t="s">
        <v>71</v>
      </c>
      <c r="B19">
        <f>part1!C14</f>
        <v>3.950227138060438E-2</v>
      </c>
      <c r="C19" t="s">
        <v>70</v>
      </c>
    </row>
    <row r="20" spans="1:3">
      <c r="A20" s="45" t="s">
        <v>55</v>
      </c>
      <c r="B20" s="45">
        <f>(B9*B18+B12*B14*B19)/(B9+B12*B14)</f>
        <v>4.3911547432155272E-2</v>
      </c>
      <c r="C20" t="s">
        <v>70</v>
      </c>
    </row>
    <row r="22" spans="1:3">
      <c r="A22" s="45" t="s">
        <v>72</v>
      </c>
      <c r="B22" s="45">
        <f>B16*B20</f>
        <v>3090.3476045911902</v>
      </c>
      <c r="C22" t="s">
        <v>70</v>
      </c>
    </row>
  </sheetData>
  <hyperlinks>
    <hyperlink ref="C11" r:id="rId1" xr:uid="{E531D9FD-B1BF-41DB-A355-E990DD5929F8}"/>
    <hyperlink ref="C9" r:id="rId2" xr:uid="{05ECE7C0-22E0-44EC-A15E-60CC6C90930B}"/>
    <hyperlink ref="C12" r:id="rId3" display="129 Rogers Note 15" xr:uid="{E2A274A3-8001-498B-A93D-46D661BD89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1A14-8BEB-4738-8E39-6A5CAAE4A53F}">
  <dimension ref="A1:P16"/>
  <sheetViews>
    <sheetView workbookViewId="0">
      <selection activeCell="B22" sqref="B22"/>
    </sheetView>
  </sheetViews>
  <sheetFormatPr baseColWidth="10" defaultColWidth="8.83203125" defaultRowHeight="16"/>
  <cols>
    <col min="1" max="1" width="17.6640625" customWidth="1"/>
    <col min="2" max="2" width="20.5" customWidth="1"/>
  </cols>
  <sheetData>
    <row r="1" spans="1:16">
      <c r="B1" t="s">
        <v>0</v>
      </c>
      <c r="C1" s="7" t="s">
        <v>1</v>
      </c>
    </row>
    <row r="2" spans="1:16">
      <c r="A2" s="1" t="s">
        <v>73</v>
      </c>
      <c r="B2" s="9"/>
      <c r="C2" s="2"/>
    </row>
    <row r="3" spans="1:16">
      <c r="A3" s="1" t="s">
        <v>7</v>
      </c>
      <c r="B3" s="2">
        <v>45999</v>
      </c>
      <c r="C3" s="5">
        <v>0.5</v>
      </c>
    </row>
    <row r="4" spans="1:16">
      <c r="A4" s="1" t="s">
        <v>9</v>
      </c>
      <c r="B4" s="9"/>
      <c r="C4" s="5">
        <v>0.5</v>
      </c>
      <c r="H4" s="73"/>
      <c r="I4" s="73"/>
      <c r="J4" s="73"/>
      <c r="K4" s="73"/>
      <c r="L4" s="73"/>
      <c r="M4" s="73"/>
      <c r="N4" s="73"/>
      <c r="O4" s="73"/>
      <c r="P4" s="73"/>
    </row>
    <row r="5" spans="1:16">
      <c r="A5" s="1" t="s">
        <v>11</v>
      </c>
      <c r="B5" s="9"/>
      <c r="C5" s="5">
        <v>0.5</v>
      </c>
      <c r="H5" s="73"/>
      <c r="I5" s="74"/>
      <c r="J5" s="74"/>
      <c r="K5" s="73"/>
      <c r="L5" s="73"/>
      <c r="M5" s="73"/>
      <c r="N5" s="73"/>
      <c r="O5" s="73"/>
      <c r="P5" s="73"/>
    </row>
    <row r="6" spans="1:16">
      <c r="A6" s="1" t="s">
        <v>13</v>
      </c>
      <c r="B6" s="9"/>
      <c r="C6" s="5">
        <v>0.5</v>
      </c>
      <c r="H6" s="73"/>
      <c r="I6" s="75"/>
      <c r="J6" s="77"/>
      <c r="K6" s="77"/>
      <c r="L6" s="77"/>
      <c r="M6" s="77"/>
      <c r="N6" s="77"/>
      <c r="O6" s="77"/>
      <c r="P6" s="73"/>
    </row>
    <row r="7" spans="1:16">
      <c r="A7" s="1"/>
      <c r="B7" s="9"/>
      <c r="C7" s="5"/>
      <c r="H7" s="73"/>
      <c r="I7" s="75"/>
      <c r="J7" s="77"/>
      <c r="K7" s="77"/>
      <c r="L7" s="77"/>
      <c r="M7" s="77"/>
      <c r="N7" s="77"/>
      <c r="O7" s="77"/>
      <c r="P7" s="73"/>
    </row>
    <row r="8" spans="1:16">
      <c r="A8" s="1"/>
      <c r="B8" s="9"/>
      <c r="C8" s="5"/>
      <c r="H8" s="73"/>
      <c r="I8" s="75"/>
      <c r="J8" s="76"/>
      <c r="K8" s="76"/>
      <c r="L8" s="76"/>
      <c r="M8" s="76"/>
      <c r="N8" s="76"/>
      <c r="O8" s="76"/>
      <c r="P8" s="73"/>
    </row>
    <row r="9" spans="1:16">
      <c r="A9" s="1" t="s">
        <v>74</v>
      </c>
      <c r="B9" s="2">
        <v>43444</v>
      </c>
      <c r="C9" s="5">
        <v>0.48</v>
      </c>
      <c r="H9" s="73"/>
      <c r="I9" s="75"/>
      <c r="J9" s="76"/>
      <c r="K9" s="76"/>
      <c r="L9" s="76"/>
      <c r="M9" s="76"/>
      <c r="N9" s="76"/>
      <c r="O9" s="76"/>
      <c r="P9" s="73"/>
    </row>
    <row r="10" spans="1:16">
      <c r="A10" s="10" t="s">
        <v>75</v>
      </c>
      <c r="B10" s="11"/>
      <c r="C10" s="10">
        <f>(4*C3-4*C9)/(4*C9)</f>
        <v>4.1666666666666706E-2</v>
      </c>
      <c r="H10" s="73"/>
      <c r="I10" s="73"/>
      <c r="J10" s="73"/>
      <c r="K10" s="73"/>
      <c r="L10" s="73"/>
      <c r="M10" s="73"/>
      <c r="N10" s="73"/>
      <c r="O10" s="73"/>
      <c r="P10" s="73"/>
    </row>
    <row r="11" spans="1:16">
      <c r="A11" s="1" t="s">
        <v>30</v>
      </c>
      <c r="B11" s="2">
        <v>45999</v>
      </c>
      <c r="C11" s="3">
        <v>50.63</v>
      </c>
      <c r="D11" s="4"/>
      <c r="E11" s="4"/>
      <c r="H11" s="73"/>
      <c r="I11" s="73"/>
      <c r="J11" s="73"/>
      <c r="K11" s="73"/>
      <c r="L11" s="73"/>
      <c r="M11" s="73"/>
      <c r="N11" s="73"/>
      <c r="O11" s="73"/>
      <c r="P11" s="73"/>
    </row>
    <row r="12" spans="1:16">
      <c r="B12" s="2">
        <v>45908</v>
      </c>
      <c r="C12" s="8">
        <v>49.36</v>
      </c>
    </row>
    <row r="14" spans="1:16">
      <c r="A14" s="10" t="s">
        <v>76</v>
      </c>
      <c r="B14" s="10"/>
      <c r="C14" s="10">
        <f>(C3/C11)*4</f>
        <v>3.950227138060438E-2</v>
      </c>
    </row>
    <row r="15" spans="1:16">
      <c r="A15" s="10" t="s">
        <v>77</v>
      </c>
      <c r="B15" s="10"/>
      <c r="C15" s="10">
        <f>4*(((C11+C3)/C12)-1)</f>
        <v>0.14343598055105389</v>
      </c>
    </row>
    <row r="16" spans="1:16">
      <c r="A16" s="10" t="s">
        <v>78</v>
      </c>
      <c r="B16" s="10"/>
      <c r="C16" s="10">
        <f>4*(C3/C11)+C10</f>
        <v>8.1168938047271086E-2</v>
      </c>
    </row>
  </sheetData>
  <mergeCells count="2">
    <mergeCell ref="J6:O6"/>
    <mergeCell ref="J7:O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part3</vt:lpstr>
      <vt:lpstr>part2</vt:lpstr>
      <vt:lpstr>part1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Hanh Dao</cp:lastModifiedBy>
  <cp:revision/>
  <dcterms:created xsi:type="dcterms:W3CDTF">2026-02-19T08:37:09Z</dcterms:created>
  <dcterms:modified xsi:type="dcterms:W3CDTF">2026-02-28T06:16:07Z</dcterms:modified>
  <cp:category/>
  <cp:contentStatus/>
</cp:coreProperties>
</file>